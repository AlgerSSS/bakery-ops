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后厨" sheetId="1" state="visible" r:id="rId3"/>
    <sheet name="前场" sheetId="2" state="visible" r:id="rId4"/>
    <sheet name="岗位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<sst xmlns="http://schemas.openxmlformats.org/spreadsheetml/2006/main" count="201" uniqueCount="104">
  <si>
    <t xml:space="preserve">Date:</t>
  </si>
  <si>
    <t xml:space="preserve">Total turnover</t>
  </si>
  <si>
    <t xml:space="preserve">Total working hours–same day</t>
  </si>
  <si>
    <t xml:space="preserve">Output value–same day</t>
  </si>
  <si>
    <t xml:space="preserve">Name</t>
  </si>
  <si>
    <t xml:space="preserve">Post</t>
  </si>
  <si>
    <t xml:space="preserve">岗位</t>
  </si>
  <si>
    <t xml:space="preserve">on</t>
  </si>
  <si>
    <t xml:space="preserve">off</t>
  </si>
  <si>
    <t xml:space="preserve">notes</t>
  </si>
  <si>
    <t xml:space="preserve">duration</t>
  </si>
  <si>
    <t xml:space="preserve">张伟</t>
  </si>
  <si>
    <t xml:space="preserve">Duty</t>
  </si>
  <si>
    <t xml:space="preserve">早晚值班</t>
  </si>
  <si>
    <t xml:space="preserve">豪哥</t>
  </si>
  <si>
    <r>
      <rPr>
        <sz val="11"/>
        <color rgb="FF0000FF"/>
        <rFont val="PingFang SC"/>
        <family val="2"/>
      </rPr>
      <t xml:space="preserve">搅拌 </t>
    </r>
    <r>
      <rPr>
        <sz val="11"/>
        <color rgb="FF0000FF"/>
        <rFont val="Arial"/>
        <family val="0"/>
        <charset val="1"/>
      </rPr>
      <t xml:space="preserve">Dough Mixing</t>
    </r>
  </si>
  <si>
    <t xml:space="preserve">搅拌</t>
  </si>
  <si>
    <t xml:space="preserve">Hui ling</t>
  </si>
  <si>
    <r>
      <rPr>
        <sz val="11"/>
        <color rgb="FF0000FF"/>
        <rFont val="PingFang SC"/>
        <family val="2"/>
      </rPr>
      <t xml:space="preserve">整形 </t>
    </r>
    <r>
      <rPr>
        <sz val="11"/>
        <color rgb="FF0000FF"/>
        <rFont val="Arial"/>
        <family val="0"/>
        <charset val="1"/>
      </rPr>
      <t xml:space="preserve">Shaping</t>
    </r>
  </si>
  <si>
    <t xml:space="preserve">整形</t>
  </si>
  <si>
    <t xml:space="preserve">enyi</t>
  </si>
  <si>
    <t xml:space="preserve">Chen hong</t>
  </si>
  <si>
    <t xml:space="preserve">Yucheng</t>
  </si>
  <si>
    <r>
      <rPr>
        <sz val="11"/>
        <color rgb="FF0000FF"/>
        <rFont val="PingFang SC"/>
        <family val="2"/>
      </rPr>
      <t xml:space="preserve">冷加工 </t>
    </r>
    <r>
      <rPr>
        <sz val="11"/>
        <color rgb="FF0000FF"/>
        <rFont val="Arial"/>
        <family val="0"/>
        <charset val="1"/>
      </rPr>
      <t xml:space="preserve">Pastry</t>
    </r>
  </si>
  <si>
    <t xml:space="preserve">冷加工</t>
  </si>
  <si>
    <t xml:space="preserve">Jiaxin</t>
  </si>
  <si>
    <t xml:space="preserve">惠恩</t>
  </si>
  <si>
    <t xml:space="preserve">Yap xuan</t>
  </si>
  <si>
    <t xml:space="preserve">马文跃</t>
  </si>
  <si>
    <t xml:space="preserve">joanna</t>
  </si>
  <si>
    <r>
      <rPr>
        <sz val="11"/>
        <color rgb="FF0000FF"/>
        <rFont val="PingFang SC"/>
        <family val="2"/>
      </rPr>
      <t xml:space="preserve">丹麦 </t>
    </r>
    <r>
      <rPr>
        <sz val="11"/>
        <color rgb="FF0000FF"/>
        <rFont val="Arial"/>
        <family val="0"/>
        <charset val="1"/>
      </rPr>
      <t xml:space="preserve">Lamination</t>
    </r>
  </si>
  <si>
    <t xml:space="preserve">丹麦</t>
  </si>
  <si>
    <t xml:space="preserve">Yuxuan</t>
  </si>
  <si>
    <t xml:space="preserve">shahparan</t>
  </si>
  <si>
    <t xml:space="preserve">阿正</t>
  </si>
  <si>
    <r>
      <rPr>
        <sz val="11"/>
        <color rgb="FF0000FF"/>
        <rFont val="PingFang SC"/>
        <family val="2"/>
      </rPr>
      <t xml:space="preserve">烤炉 </t>
    </r>
    <r>
      <rPr>
        <sz val="11"/>
        <color rgb="FF0000FF"/>
        <rFont val="Arial"/>
        <family val="0"/>
        <charset val="1"/>
      </rPr>
      <t xml:space="preserve">Baking</t>
    </r>
  </si>
  <si>
    <t xml:space="preserve">烤炉</t>
  </si>
  <si>
    <t xml:space="preserve">Lucas</t>
  </si>
  <si>
    <t xml:space="preserve">mizan</t>
  </si>
  <si>
    <t xml:space="preserve">Ong</t>
  </si>
  <si>
    <r>
      <rPr>
        <sz val="11"/>
        <color rgb="FF0000FF"/>
        <rFont val="PingFang SC"/>
        <family val="2"/>
      </rPr>
      <t xml:space="preserve">馅料 </t>
    </r>
    <r>
      <rPr>
        <sz val="11"/>
        <color rgb="FF0000FF"/>
        <rFont val="Arial"/>
        <family val="0"/>
        <charset val="1"/>
      </rPr>
      <t xml:space="preserve">Filling</t>
    </r>
  </si>
  <si>
    <t xml:space="preserve">馅料</t>
  </si>
  <si>
    <t xml:space="preserve">Melissa</t>
  </si>
  <si>
    <t xml:space="preserve">Narzul</t>
  </si>
  <si>
    <r>
      <rPr>
        <sz val="11"/>
        <color rgb="FF0000FF"/>
        <rFont val="PingFang SC"/>
        <family val="2"/>
      </rPr>
      <t xml:space="preserve">清洁 </t>
    </r>
    <r>
      <rPr>
        <sz val="11"/>
        <color rgb="FF0000FF"/>
        <rFont val="Arial"/>
        <family val="0"/>
        <charset val="1"/>
      </rPr>
      <t xml:space="preserve">Cleaner</t>
    </r>
  </si>
  <si>
    <t xml:space="preserve">保洁</t>
  </si>
  <si>
    <t xml:space="preserve">Asraful</t>
  </si>
  <si>
    <t xml:space="preserve">嘉瑄</t>
  </si>
  <si>
    <t xml:space="preserve">OFF</t>
  </si>
  <si>
    <t xml:space="preserve">Wan</t>
  </si>
  <si>
    <t xml:space="preserve">鹏鹏</t>
  </si>
  <si>
    <t xml:space="preserve">家汇</t>
  </si>
  <si>
    <t xml:space="preserve">jakirul</t>
  </si>
  <si>
    <t xml:space="preserve">Mizan</t>
  </si>
  <si>
    <r>
      <rPr>
        <sz val="9"/>
        <color rgb="FF808080"/>
        <rFont val="Arial"/>
        <family val="0"/>
        <charset val="1"/>
      </rPr>
      <t xml:space="preserve">· duration </t>
    </r>
    <r>
      <rPr>
        <sz val="9"/>
        <color rgb="FF808080"/>
        <rFont val="PingFang SC"/>
        <family val="2"/>
      </rPr>
      <t xml:space="preserve">按你们现在的习惯手填（参考：下班 − 上班 − 餐休，在岗超 </t>
    </r>
    <r>
      <rPr>
        <sz val="9"/>
        <color rgb="FF808080"/>
        <rFont val="Arial"/>
        <family val="0"/>
        <charset val="1"/>
      </rPr>
      <t xml:space="preserve">9 </t>
    </r>
    <r>
      <rPr>
        <sz val="9"/>
        <color rgb="FF808080"/>
        <rFont val="PingFang SC"/>
        <family val="2"/>
      </rPr>
      <t xml:space="preserve">小时扣 </t>
    </r>
    <r>
      <rPr>
        <sz val="9"/>
        <color rgb="FF808080"/>
        <rFont val="Arial"/>
        <family val="0"/>
        <charset val="1"/>
      </rPr>
      <t xml:space="preserve">2 </t>
    </r>
    <r>
      <rPr>
        <sz val="9"/>
        <color rgb="FF808080"/>
        <rFont val="PingFang SC"/>
        <family val="2"/>
      </rPr>
      <t xml:space="preserve">小时），系统不改它。</t>
    </r>
    <r>
      <rPr>
        <sz val="9"/>
        <color rgb="FF808080"/>
        <rFont val="Arial"/>
        <family val="0"/>
        <charset val="1"/>
      </rPr>
      <t xml:space="preserve">Total working hours </t>
    </r>
    <r>
      <rPr>
        <sz val="9"/>
        <color rgb="FF808080"/>
        <rFont val="PingFang SC"/>
        <family val="2"/>
      </rPr>
      <t xml:space="preserve">与 </t>
    </r>
    <r>
      <rPr>
        <sz val="9"/>
        <color rgb="FF808080"/>
        <rFont val="Arial"/>
        <family val="0"/>
        <charset val="1"/>
      </rPr>
      <t xml:space="preserve">Output value </t>
    </r>
    <r>
      <rPr>
        <sz val="9"/>
        <color rgb="FF808080"/>
        <rFont val="PingFang SC"/>
        <family val="2"/>
      </rPr>
      <t xml:space="preserve">仍自动汇总。</t>
    </r>
  </si>
  <si>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PingFang SC"/>
        <family val="2"/>
      </rPr>
      <t xml:space="preserve">唯一和以前不同的：</t>
    </r>
    <r>
      <rPr>
        <sz val="9"/>
        <color rgb="FF808080"/>
        <rFont val="Arial"/>
        <family val="0"/>
        <charset val="1"/>
      </rPr>
      <t xml:space="preserve">Post </t>
    </r>
    <r>
      <rPr>
        <sz val="9"/>
        <color rgb="FF808080"/>
        <rFont val="PingFang SC"/>
        <family val="2"/>
      </rPr>
      <t xml:space="preserve">和岗位每行都要填，不再靠分组标题行 —— 否则系统读不出谁在哪个岗。前场本来就是这么填的。</t>
    </r>
  </si>
  <si>
    <r>
      <rPr>
        <sz val="9"/>
        <color rgb="FF808080"/>
        <rFont val="Arial"/>
        <family val="0"/>
        <charset val="1"/>
      </rPr>
      <t xml:space="preserve">· </t>
    </r>
    <r>
      <rPr>
        <sz val="9"/>
        <color rgb="FF808080"/>
        <rFont val="PingFang SC"/>
        <family val="2"/>
      </rPr>
      <t xml:space="preserve">休息的人 </t>
    </r>
    <r>
      <rPr>
        <sz val="9"/>
        <color rgb="FF808080"/>
        <rFont val="Arial"/>
        <family val="0"/>
        <charset val="1"/>
      </rPr>
      <t xml:space="preserve">Post </t>
    </r>
    <r>
      <rPr>
        <sz val="9"/>
        <color rgb="FF808080"/>
        <rFont val="PingFang SC"/>
        <family val="2"/>
      </rPr>
      <t xml:space="preserve">填 </t>
    </r>
    <r>
      <rPr>
        <sz val="9"/>
        <color rgb="FF808080"/>
        <rFont val="Arial"/>
        <family val="0"/>
        <charset val="1"/>
      </rPr>
      <t xml:space="preserve">OFF</t>
    </r>
    <r>
      <rPr>
        <sz val="9"/>
        <color rgb="FF808080"/>
        <rFont val="PingFang SC"/>
        <family val="2"/>
      </rPr>
      <t xml:space="preserve">，行变红、不计工时。加班和特殊情况照旧写 </t>
    </r>
    <r>
      <rPr>
        <sz val="9"/>
        <color rgb="FF808080"/>
        <rFont val="Arial"/>
        <family val="0"/>
        <charset val="1"/>
      </rPr>
      <t xml:space="preserve">notes</t>
    </r>
    <r>
      <rPr>
        <sz val="9"/>
        <color rgb="FF808080"/>
        <rFont val="PingFang SC"/>
        <family val="2"/>
      </rPr>
      <t xml:space="preserve">。</t>
    </r>
  </si>
  <si>
    <t xml:space="preserve">qiming</t>
  </si>
  <si>
    <r>
      <rPr>
        <sz val="11"/>
        <color rgb="FF0000FF"/>
        <rFont val="PingFang SC"/>
        <family val="2"/>
      </rPr>
      <t xml:space="preserve">早值班</t>
    </r>
    <r>
      <rPr>
        <sz val="11"/>
        <color rgb="FF0000FF"/>
        <rFont val="Arial"/>
        <family val="0"/>
        <charset val="1"/>
      </rPr>
      <t xml:space="preserve">/</t>
    </r>
    <r>
      <rPr>
        <sz val="11"/>
        <color rgb="FF0000FF"/>
        <rFont val="PingFang SC"/>
        <family val="2"/>
      </rPr>
      <t xml:space="preserve">早收银</t>
    </r>
  </si>
  <si>
    <t xml:space="preserve">khang</t>
  </si>
  <si>
    <t xml:space="preserve">晚值班</t>
  </si>
  <si>
    <t xml:space="preserve">jing rou</t>
  </si>
  <si>
    <t xml:space="preserve">Cashier</t>
  </si>
  <si>
    <t xml:space="preserve">乐收银</t>
  </si>
  <si>
    <t xml:space="preserve">athirah</t>
  </si>
  <si>
    <t xml:space="preserve">收银</t>
  </si>
  <si>
    <t xml:space="preserve">arfan</t>
  </si>
  <si>
    <t xml:space="preserve">切饼</t>
  </si>
  <si>
    <t xml:space="preserve">asyik</t>
  </si>
  <si>
    <t xml:space="preserve">打包</t>
  </si>
  <si>
    <r>
      <rPr>
        <sz val="11"/>
        <color rgb="FF0000FF"/>
        <rFont val="Arial"/>
        <family val="0"/>
        <charset val="1"/>
      </rPr>
      <t xml:space="preserve">ot 1hour</t>
    </r>
    <r>
      <rPr>
        <sz val="11"/>
        <color rgb="FF0000FF"/>
        <rFont val="PingFang SC"/>
        <family val="2"/>
      </rPr>
      <t xml:space="preserve">；</t>
    </r>
    <r>
      <rPr>
        <sz val="11"/>
        <color rgb="FF0000FF"/>
        <rFont val="Arial"/>
        <family val="0"/>
        <charset val="1"/>
      </rPr>
      <t xml:space="preserve">cutting/display closing</t>
    </r>
  </si>
  <si>
    <t xml:space="preserve">zixuan</t>
  </si>
  <si>
    <t xml:space="preserve">Display</t>
  </si>
  <si>
    <t xml:space="preserve">陈列</t>
  </si>
  <si>
    <t xml:space="preserve">ayesha</t>
  </si>
  <si>
    <t xml:space="preserve">ot 1.5hour</t>
  </si>
  <si>
    <t xml:space="preserve">kian</t>
  </si>
  <si>
    <r>
      <rPr>
        <sz val="11"/>
        <color rgb="FF0000FF"/>
        <rFont val="PingFang SC"/>
        <family val="2"/>
      </rPr>
      <t xml:space="preserve">陈列</t>
    </r>
    <r>
      <rPr>
        <sz val="11"/>
        <color rgb="FF0000FF"/>
        <rFont val="Arial"/>
        <family val="0"/>
        <charset val="1"/>
      </rPr>
      <t xml:space="preserve">/</t>
    </r>
    <r>
      <rPr>
        <sz val="11"/>
        <color rgb="FF0000FF"/>
        <rFont val="PingFang SC"/>
        <family val="2"/>
      </rPr>
      <t xml:space="preserve">考核</t>
    </r>
    <r>
      <rPr>
        <sz val="11"/>
        <color rgb="FF0000FF"/>
        <rFont val="Arial"/>
        <family val="0"/>
        <charset val="1"/>
      </rPr>
      <t xml:space="preserve">/</t>
    </r>
    <r>
      <rPr>
        <sz val="11"/>
        <color rgb="FF0000FF"/>
        <rFont val="PingFang SC"/>
        <family val="2"/>
      </rPr>
      <t xml:space="preserve">外送</t>
    </r>
  </si>
  <si>
    <t xml:space="preserve">abdul</t>
  </si>
  <si>
    <t xml:space="preserve">Barista</t>
  </si>
  <si>
    <t xml:space="preserve">水吧</t>
  </si>
  <si>
    <t xml:space="preserve">ain</t>
  </si>
  <si>
    <t xml:space="preserve">sana</t>
  </si>
  <si>
    <r>
      <rPr>
        <sz val="11"/>
        <color rgb="FF0000FF"/>
        <rFont val="PingFang SC"/>
        <family val="2"/>
      </rPr>
      <t xml:space="preserve">水吧</t>
    </r>
    <r>
      <rPr>
        <sz val="11"/>
        <color rgb="FF0000FF"/>
        <rFont val="Arial"/>
        <family val="0"/>
        <charset val="1"/>
      </rPr>
      <t xml:space="preserve">/</t>
    </r>
    <r>
      <rPr>
        <sz val="11"/>
        <color rgb="FF0000FF"/>
        <rFont val="PingFang SC"/>
        <family val="2"/>
      </rPr>
      <t xml:space="preserve">打包</t>
    </r>
  </si>
  <si>
    <t xml:space="preserve">malik</t>
  </si>
  <si>
    <t xml:space="preserve">Out-field</t>
  </si>
  <si>
    <t xml:space="preserve">外送</t>
  </si>
  <si>
    <t xml:space="preserve">queue/opening</t>
  </si>
  <si>
    <t xml:space="preserve">Galad</t>
  </si>
  <si>
    <r>
      <rPr>
        <sz val="11"/>
        <color rgb="FF0000FF"/>
        <rFont val="PingFang SC"/>
        <family val="2"/>
      </rPr>
      <t xml:space="preserve">排队</t>
    </r>
    <r>
      <rPr>
        <sz val="11"/>
        <color rgb="FF0000FF"/>
        <rFont val="Arial"/>
        <family val="0"/>
        <charset val="1"/>
      </rPr>
      <t xml:space="preserve">/</t>
    </r>
    <r>
      <rPr>
        <sz val="11"/>
        <color rgb="FF0000FF"/>
        <rFont val="PingFang SC"/>
        <family val="2"/>
      </rPr>
      <t xml:space="preserve">开档</t>
    </r>
  </si>
  <si>
    <r>
      <rPr>
        <sz val="11"/>
        <color rgb="FF0000FF"/>
        <rFont val="Arial"/>
        <family val="0"/>
        <charset val="1"/>
      </rPr>
      <t xml:space="preserve">jie ee</t>
    </r>
    <r>
      <rPr>
        <sz val="11"/>
        <color rgb="FF0000FF"/>
        <rFont val="PingFang SC"/>
        <family val="2"/>
      </rPr>
      <t xml:space="preserve">（兼职）</t>
    </r>
  </si>
  <si>
    <t xml:space="preserve">外场</t>
  </si>
  <si>
    <t xml:space="preserve">queue/display</t>
  </si>
  <si>
    <t xml:space="preserve">ali</t>
  </si>
  <si>
    <t xml:space="preserve">Clean</t>
  </si>
  <si>
    <t xml:space="preserve">break 2hour</t>
  </si>
  <si>
    <t xml:space="preserve">sobina</t>
  </si>
  <si>
    <r>
      <rPr>
        <sz val="9"/>
        <color rgb="FF808080"/>
        <rFont val="Arial"/>
        <family val="0"/>
        <charset val="1"/>
      </rPr>
      <t xml:space="preserve">· duration </t>
    </r>
    <r>
      <rPr>
        <sz val="9"/>
        <color rgb="FF808080"/>
        <rFont val="PingFang SC"/>
        <family val="2"/>
      </rPr>
      <t xml:space="preserve">按你们现在的习惯手填（参考：下班 − 上班 − </t>
    </r>
    <r>
      <rPr>
        <sz val="9"/>
        <color rgb="FF808080"/>
        <rFont val="Arial"/>
        <family val="0"/>
        <charset val="1"/>
      </rPr>
      <t xml:space="preserve">1 </t>
    </r>
    <r>
      <rPr>
        <sz val="9"/>
        <color rgb="FF808080"/>
        <rFont val="PingFang SC"/>
        <family val="2"/>
      </rPr>
      <t xml:space="preserve">小时餐休），系统不改它。</t>
    </r>
    <r>
      <rPr>
        <sz val="9"/>
        <color rgb="FF808080"/>
        <rFont val="Arial"/>
        <family val="0"/>
        <charset val="1"/>
      </rPr>
      <t xml:space="preserve">Total working hours </t>
    </r>
    <r>
      <rPr>
        <sz val="9"/>
        <color rgb="FF808080"/>
        <rFont val="PingFang SC"/>
        <family val="2"/>
      </rPr>
      <t xml:space="preserve">与 </t>
    </r>
    <r>
      <rPr>
        <sz val="9"/>
        <color rgb="FF808080"/>
        <rFont val="Arial"/>
        <family val="0"/>
        <charset val="1"/>
      </rPr>
      <t xml:space="preserve">Output value </t>
    </r>
    <r>
      <rPr>
        <sz val="9"/>
        <color rgb="FF808080"/>
        <rFont val="PingFang SC"/>
        <family val="2"/>
      </rPr>
      <t xml:space="preserve">仍自动汇总。</t>
    </r>
  </si>
  <si>
    <r>
      <rPr>
        <b val="true"/>
        <sz val="11"/>
        <rFont val="PingFang SC"/>
        <family val="2"/>
      </rPr>
      <t xml:space="preserve">后厨 </t>
    </r>
    <r>
      <rPr>
        <b val="true"/>
        <sz val="11"/>
        <rFont val="Arial"/>
        <family val="0"/>
        <charset val="1"/>
      </rPr>
      <t xml:space="preserve">Post</t>
    </r>
  </si>
  <si>
    <t xml:space="preserve">后厨 岗位</t>
  </si>
  <si>
    <r>
      <rPr>
        <b val="true"/>
        <sz val="11"/>
        <rFont val="PingFang SC"/>
        <family val="2"/>
      </rPr>
      <t xml:space="preserve">前场 </t>
    </r>
    <r>
      <rPr>
        <b val="true"/>
        <sz val="11"/>
        <rFont val="Arial"/>
        <family val="0"/>
        <charset val="1"/>
      </rPr>
      <t xml:space="preserve">Post</t>
    </r>
  </si>
  <si>
    <t xml:space="preserve">前场 岗位</t>
  </si>
  <si>
    <t xml:space="preserve">改这四列，两张班表的下拉跟着变</t>
  </si>
  <si>
    <t xml:space="preserve">早值班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</si>
</sst>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/d"/>
    <numFmt numFmtId="166" formatCode="#,##0"/>
    <numFmt numFmtId="167" formatCode="0.0"/>
    <numFmt numFmtId="168" formatCode="#,##0.0"/>
    <numFmt numFmtId="169" formatCode="h:m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00000"/>
      <name val="PingFang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PingFang SC"/>
      <family val="2"/>
    </font>
    <font>
      <sz val="11"/>
      <color rgb="FF0000FF"/>
      <name val="PingFang SC"/>
      <family val="2"/>
    </font>
    <font>
      <sz val="9"/>
      <color rgb="FF808080"/>
      <name val="Arial"/>
      <family val="0"/>
      <charset val="1"/>
    </font>
    <font>
      <sz val="9"/>
      <color rgb="FF808080"/>
      <name val="PingFang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BDD0E4"/>
        <bgColor rgb="FF99CCFF"/>
      </patternFill>
    </fill>
    <fill>
      <patternFill patternType="solid">
        <fgColor rgb="FFE8B4B4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3CC"/>
      </left>
      <right style="thin">
        <color rgb="FF9BB3CC"/>
      </right>
      <top style="thin">
        <color rgb="FF9BB3CC"/>
      </top>
      <bottom style="thin">
        <color rgb="FF9BB3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BB3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0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B4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26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" t="s">
        <v>0</v>
      </c>
      <c r="B1" s="2" t="n">
        <v>46238</v>
      </c>
      <c r="D1" s="3" t="str">
        <f aca="false">IF($B$1="","",CHOOSE(WEEKDAY($B$1,2),"星期一","星期二","星期三","星期四","星期五","星期六","星期日"))</f>
        <v>星期二</v>
      </c>
    </row>
    <row r="3" customFormat="false" ht="15" hidden="false" customHeight="false" outlineLevel="0" collapsed="false">
      <c r="A3" s="4" t="s">
        <v>1</v>
      </c>
      <c r="B3" s="4"/>
      <c r="C3" s="4"/>
      <c r="D3" s="4"/>
      <c r="E3" s="5" t="n">
        <v>51000</v>
      </c>
      <c r="F3" s="5"/>
      <c r="G3" s="5"/>
    </row>
    <row r="4" customFormat="false" ht="15" hidden="false" customHeight="false" outlineLevel="0" collapsed="false">
      <c r="A4" s="4" t="s">
        <v>2</v>
      </c>
      <c r="B4" s="4"/>
      <c r="C4" s="4"/>
      <c r="D4" s="4"/>
      <c r="E4" s="6" t="n">
        <f aca="false">ROUND(SUM($G$7:$G$120),1)</f>
        <v>168</v>
      </c>
      <c r="F4" s="6"/>
      <c r="G4" s="6"/>
    </row>
    <row r="5" customFormat="false" ht="15" hidden="false" customHeight="false" outlineLevel="0" collapsed="false">
      <c r="A5" s="4" t="s">
        <v>3</v>
      </c>
      <c r="B5" s="4"/>
      <c r="C5" s="4"/>
      <c r="D5" s="4"/>
      <c r="E5" s="7" t="n">
        <f aca="false">IFERROR(ROUND($E$3/$E$4,1),"")</f>
        <v>303.6</v>
      </c>
      <c r="F5" s="7"/>
      <c r="G5" s="7"/>
    </row>
    <row r="6" customFormat="false" ht="25.5" hidden="false" customHeight="true" outlineLevel="0" collapsed="false">
      <c r="A6" s="4" t="s">
        <v>4</v>
      </c>
      <c r="B6" s="4" t="s">
        <v>5</v>
      </c>
      <c r="C6" s="8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customFormat="false" ht="15" hidden="false" customHeight="false" outlineLevel="0" collapsed="false">
      <c r="A7" s="9" t="s">
        <v>11</v>
      </c>
      <c r="B7" s="10" t="s">
        <v>12</v>
      </c>
      <c r="C7" s="9" t="s">
        <v>13</v>
      </c>
      <c r="D7" s="11" t="n">
        <v>0.416666666666667</v>
      </c>
      <c r="E7" s="11" t="n">
        <v>0.791666666666667</v>
      </c>
      <c r="F7" s="9"/>
      <c r="G7" s="12" t="n">
        <v>8</v>
      </c>
    </row>
    <row r="8" customFormat="false" ht="17.15" hidden="false" customHeight="false" outlineLevel="0" collapsed="false">
      <c r="A8" s="9" t="s">
        <v>14</v>
      </c>
      <c r="B8" s="9" t="s">
        <v>15</v>
      </c>
      <c r="C8" s="9" t="s">
        <v>16</v>
      </c>
      <c r="D8" s="11" t="n">
        <v>0.333333333333333</v>
      </c>
      <c r="E8" s="11" t="n">
        <v>0.708333333333333</v>
      </c>
      <c r="F8" s="9"/>
      <c r="G8" s="12" t="n">
        <v>8</v>
      </c>
    </row>
    <row r="9" customFormat="false" ht="17.15" hidden="false" customHeight="false" outlineLevel="0" collapsed="false">
      <c r="A9" s="10" t="s">
        <v>17</v>
      </c>
      <c r="B9" s="9" t="s">
        <v>18</v>
      </c>
      <c r="C9" s="9" t="s">
        <v>19</v>
      </c>
      <c r="D9" s="11" t="n">
        <v>0.416666666666667</v>
      </c>
      <c r="E9" s="11" t="n">
        <v>0.791666666666667</v>
      </c>
      <c r="F9" s="10"/>
      <c r="G9" s="12" t="n">
        <v>8</v>
      </c>
    </row>
    <row r="10" customFormat="false" ht="17.15" hidden="false" customHeight="false" outlineLevel="0" collapsed="false">
      <c r="A10" s="10" t="s">
        <v>20</v>
      </c>
      <c r="B10" s="9" t="s">
        <v>18</v>
      </c>
      <c r="C10" s="9" t="s">
        <v>19</v>
      </c>
      <c r="D10" s="11" t="n">
        <v>0.333333333333333</v>
      </c>
      <c r="E10" s="11" t="n">
        <v>0.708333333333333</v>
      </c>
      <c r="F10" s="10"/>
      <c r="G10" s="12" t="n">
        <v>8</v>
      </c>
    </row>
    <row r="11" customFormat="false" ht="17.15" hidden="false" customHeight="false" outlineLevel="0" collapsed="false">
      <c r="A11" s="10" t="s">
        <v>21</v>
      </c>
      <c r="B11" s="9" t="s">
        <v>18</v>
      </c>
      <c r="C11" s="9" t="s">
        <v>19</v>
      </c>
      <c r="D11" s="11" t="n">
        <v>0.375</v>
      </c>
      <c r="E11" s="11" t="n">
        <v>0.75</v>
      </c>
      <c r="F11" s="10"/>
      <c r="G11" s="12" t="n">
        <v>8</v>
      </c>
    </row>
    <row r="12" customFormat="false" ht="17.15" hidden="false" customHeight="false" outlineLevel="0" collapsed="false">
      <c r="A12" s="10" t="s">
        <v>22</v>
      </c>
      <c r="B12" s="9" t="s">
        <v>23</v>
      </c>
      <c r="C12" s="9" t="s">
        <v>24</v>
      </c>
      <c r="D12" s="11" t="n">
        <v>0.291666666666667</v>
      </c>
      <c r="E12" s="11" t="n">
        <v>0.666666666666667</v>
      </c>
      <c r="F12" s="10"/>
      <c r="G12" s="12" t="n">
        <v>8</v>
      </c>
    </row>
    <row r="13" customFormat="false" ht="17.15" hidden="false" customHeight="false" outlineLevel="0" collapsed="false">
      <c r="A13" s="10" t="s">
        <v>25</v>
      </c>
      <c r="B13" s="9" t="s">
        <v>23</v>
      </c>
      <c r="C13" s="9" t="s">
        <v>24</v>
      </c>
      <c r="D13" s="11" t="n">
        <v>0.291666666666667</v>
      </c>
      <c r="E13" s="11" t="n">
        <v>0.666666666666667</v>
      </c>
      <c r="F13" s="10"/>
      <c r="G13" s="12" t="n">
        <v>8</v>
      </c>
    </row>
    <row r="14" customFormat="false" ht="17.15" hidden="false" customHeight="false" outlineLevel="0" collapsed="false">
      <c r="A14" s="9" t="s">
        <v>26</v>
      </c>
      <c r="B14" s="9" t="s">
        <v>23</v>
      </c>
      <c r="C14" s="9" t="s">
        <v>24</v>
      </c>
      <c r="D14" s="11" t="n">
        <v>0.416666666666667</v>
      </c>
      <c r="E14" s="11" t="n">
        <v>0.791666666666667</v>
      </c>
      <c r="F14" s="10"/>
      <c r="G14" s="12" t="n">
        <v>8</v>
      </c>
    </row>
    <row r="15" customFormat="false" ht="17.15" hidden="false" customHeight="false" outlineLevel="0" collapsed="false">
      <c r="A15" s="10" t="s">
        <v>27</v>
      </c>
      <c r="B15" s="9" t="s">
        <v>23</v>
      </c>
      <c r="C15" s="9" t="s">
        <v>24</v>
      </c>
      <c r="D15" s="11" t="n">
        <v>0.416666666666667</v>
      </c>
      <c r="E15" s="11" t="n">
        <v>0.791666666666667</v>
      </c>
      <c r="F15" s="10"/>
      <c r="G15" s="12" t="n">
        <v>8</v>
      </c>
    </row>
    <row r="16" customFormat="false" ht="17.15" hidden="false" customHeight="false" outlineLevel="0" collapsed="false">
      <c r="A16" s="9" t="s">
        <v>28</v>
      </c>
      <c r="B16" s="9" t="s">
        <v>23</v>
      </c>
      <c r="C16" s="9" t="s">
        <v>24</v>
      </c>
      <c r="D16" s="11" t="n">
        <v>0.458333333333333</v>
      </c>
      <c r="E16" s="11" t="n">
        <v>0.833333333333333</v>
      </c>
      <c r="F16" s="10"/>
      <c r="G16" s="12" t="n">
        <v>8</v>
      </c>
    </row>
    <row r="17" customFormat="false" ht="17.15" hidden="false" customHeight="false" outlineLevel="0" collapsed="false">
      <c r="A17" s="10" t="s">
        <v>29</v>
      </c>
      <c r="B17" s="9" t="s">
        <v>30</v>
      </c>
      <c r="C17" s="9" t="s">
        <v>31</v>
      </c>
      <c r="D17" s="11" t="n">
        <v>0.291666666666667</v>
      </c>
      <c r="E17" s="11" t="n">
        <v>0.666666666666667</v>
      </c>
      <c r="F17" s="10"/>
      <c r="G17" s="12" t="n">
        <v>8</v>
      </c>
    </row>
    <row r="18" customFormat="false" ht="17.15" hidden="false" customHeight="false" outlineLevel="0" collapsed="false">
      <c r="A18" s="10" t="s">
        <v>32</v>
      </c>
      <c r="B18" s="9" t="s">
        <v>30</v>
      </c>
      <c r="C18" s="9" t="s">
        <v>31</v>
      </c>
      <c r="D18" s="11" t="n">
        <v>0.291666666666667</v>
      </c>
      <c r="E18" s="11" t="n">
        <v>0.666666666666667</v>
      </c>
      <c r="F18" s="10"/>
      <c r="G18" s="12" t="n">
        <v>8</v>
      </c>
    </row>
    <row r="19" customFormat="false" ht="17.15" hidden="false" customHeight="false" outlineLevel="0" collapsed="false">
      <c r="A19" s="10" t="s">
        <v>33</v>
      </c>
      <c r="B19" s="9" t="s">
        <v>30</v>
      </c>
      <c r="C19" s="9" t="s">
        <v>31</v>
      </c>
      <c r="D19" s="11" t="n">
        <v>0.458333333333333</v>
      </c>
      <c r="E19" s="11" t="n">
        <v>0.958333333333333</v>
      </c>
      <c r="F19" s="10"/>
      <c r="G19" s="12" t="n">
        <v>10</v>
      </c>
    </row>
    <row r="20" customFormat="false" ht="17.15" hidden="false" customHeight="false" outlineLevel="0" collapsed="false">
      <c r="A20" s="9" t="s">
        <v>34</v>
      </c>
      <c r="B20" s="9" t="s">
        <v>35</v>
      </c>
      <c r="C20" s="9" t="s">
        <v>36</v>
      </c>
      <c r="D20" s="11" t="n">
        <v>0.5</v>
      </c>
      <c r="E20" s="11" t="n">
        <v>0.875</v>
      </c>
      <c r="F20" s="10"/>
      <c r="G20" s="12" t="n">
        <v>8</v>
      </c>
    </row>
    <row r="21" customFormat="false" ht="17.15" hidden="false" customHeight="false" outlineLevel="0" collapsed="false">
      <c r="A21" s="10" t="s">
        <v>37</v>
      </c>
      <c r="B21" s="9" t="s">
        <v>35</v>
      </c>
      <c r="C21" s="9" t="s">
        <v>36</v>
      </c>
      <c r="D21" s="11" t="n">
        <v>0.291666666666667</v>
      </c>
      <c r="E21" s="11" t="n">
        <v>0.666666666666667</v>
      </c>
      <c r="F21" s="10"/>
      <c r="G21" s="12" t="n">
        <v>8</v>
      </c>
    </row>
    <row r="22" customFormat="false" ht="17.15" hidden="false" customHeight="false" outlineLevel="0" collapsed="false">
      <c r="A22" s="10" t="s">
        <v>38</v>
      </c>
      <c r="B22" s="9" t="s">
        <v>35</v>
      </c>
      <c r="C22" s="9" t="s">
        <v>36</v>
      </c>
      <c r="D22" s="11" t="n">
        <v>0.333333333333333</v>
      </c>
      <c r="E22" s="11" t="n">
        <v>0.708333333333333</v>
      </c>
      <c r="F22" s="10"/>
      <c r="G22" s="12" t="n">
        <v>8</v>
      </c>
    </row>
    <row r="23" customFormat="false" ht="17.15" hidden="false" customHeight="false" outlineLevel="0" collapsed="false">
      <c r="A23" s="10" t="s">
        <v>39</v>
      </c>
      <c r="B23" s="9" t="s">
        <v>40</v>
      </c>
      <c r="C23" s="9" t="s">
        <v>41</v>
      </c>
      <c r="D23" s="11" t="n">
        <v>0.5</v>
      </c>
      <c r="E23" s="11" t="n">
        <v>0</v>
      </c>
      <c r="F23" s="10"/>
      <c r="G23" s="12" t="n">
        <v>10</v>
      </c>
    </row>
    <row r="24" customFormat="false" ht="17.15" hidden="false" customHeight="false" outlineLevel="0" collapsed="false">
      <c r="A24" s="10" t="s">
        <v>42</v>
      </c>
      <c r="B24" s="9" t="s">
        <v>40</v>
      </c>
      <c r="C24" s="9" t="s">
        <v>41</v>
      </c>
      <c r="D24" s="11" t="n">
        <v>0.333333333333333</v>
      </c>
      <c r="E24" s="11" t="n">
        <v>0.708333333333333</v>
      </c>
      <c r="F24" s="10"/>
      <c r="G24" s="12" t="n">
        <v>8</v>
      </c>
    </row>
    <row r="25" customFormat="false" ht="17.15" hidden="false" customHeight="false" outlineLevel="0" collapsed="false">
      <c r="A25" s="10" t="s">
        <v>43</v>
      </c>
      <c r="B25" s="9" t="s">
        <v>44</v>
      </c>
      <c r="C25" s="9" t="s">
        <v>45</v>
      </c>
      <c r="D25" s="11" t="n">
        <v>0.375</v>
      </c>
      <c r="E25" s="11" t="n">
        <v>0.875</v>
      </c>
      <c r="F25" s="10"/>
      <c r="G25" s="12" t="n">
        <v>10</v>
      </c>
    </row>
    <row r="26" customFormat="false" ht="17.15" hidden="false" customHeight="false" outlineLevel="0" collapsed="false">
      <c r="A26" s="10" t="s">
        <v>46</v>
      </c>
      <c r="B26" s="9" t="s">
        <v>44</v>
      </c>
      <c r="C26" s="9" t="s">
        <v>45</v>
      </c>
      <c r="D26" s="11" t="n">
        <v>0.458333333333333</v>
      </c>
      <c r="E26" s="11" t="n">
        <v>0.958333333333333</v>
      </c>
      <c r="F26" s="10"/>
      <c r="G26" s="12" t="n">
        <v>10</v>
      </c>
    </row>
    <row r="27" customFormat="false" ht="15" hidden="false" customHeight="false" outlineLevel="0" collapsed="false">
      <c r="A27" s="13" t="s">
        <v>47</v>
      </c>
      <c r="B27" s="14" t="s">
        <v>48</v>
      </c>
      <c r="C27" s="14"/>
      <c r="D27" s="15"/>
      <c r="E27" s="15"/>
      <c r="F27" s="13"/>
      <c r="G27" s="16"/>
    </row>
    <row r="28" customFormat="false" ht="15" hidden="false" customHeight="false" outlineLevel="0" collapsed="false">
      <c r="A28" s="14" t="s">
        <v>49</v>
      </c>
      <c r="B28" s="14" t="s">
        <v>48</v>
      </c>
      <c r="C28" s="14"/>
      <c r="D28" s="15"/>
      <c r="E28" s="15"/>
      <c r="F28" s="14"/>
      <c r="G28" s="16"/>
    </row>
    <row r="29" customFormat="false" ht="15" hidden="false" customHeight="false" outlineLevel="0" collapsed="false">
      <c r="A29" s="13" t="s">
        <v>50</v>
      </c>
      <c r="B29" s="14" t="s">
        <v>48</v>
      </c>
      <c r="C29" s="14"/>
      <c r="D29" s="15"/>
      <c r="E29" s="15"/>
      <c r="F29" s="14"/>
      <c r="G29" s="16"/>
    </row>
    <row r="30" customFormat="false" ht="15" hidden="false" customHeight="false" outlineLevel="0" collapsed="false">
      <c r="A30" s="13" t="s">
        <v>51</v>
      </c>
      <c r="B30" s="14" t="s">
        <v>48</v>
      </c>
      <c r="C30" s="14"/>
      <c r="D30" s="15"/>
      <c r="E30" s="15"/>
      <c r="F30" s="14"/>
      <c r="G30" s="16"/>
    </row>
    <row r="31" customFormat="false" ht="15" hidden="false" customHeight="false" outlineLevel="0" collapsed="false">
      <c r="A31" s="14" t="s">
        <v>52</v>
      </c>
      <c r="B31" s="14" t="s">
        <v>48</v>
      </c>
      <c r="C31" s="14"/>
      <c r="D31" s="15"/>
      <c r="E31" s="15"/>
      <c r="F31" s="14"/>
      <c r="G31" s="16"/>
    </row>
    <row r="32" customFormat="false" ht="15" hidden="false" customHeight="false" outlineLevel="0" collapsed="false">
      <c r="A32" s="14" t="s">
        <v>53</v>
      </c>
      <c r="B32" s="14" t="s">
        <v>48</v>
      </c>
      <c r="C32" s="14"/>
      <c r="D32" s="15"/>
      <c r="E32" s="15"/>
      <c r="F32" s="14"/>
      <c r="G32" s="16"/>
    </row>
    <row r="33" customFormat="false" ht="15" hidden="false" customHeight="false" outlineLevel="0" collapsed="false">
      <c r="A33" s="10"/>
      <c r="B33" s="10"/>
      <c r="C33" s="9"/>
      <c r="D33" s="11"/>
      <c r="E33" s="11"/>
      <c r="F33" s="10"/>
      <c r="G33" s="12"/>
    </row>
    <row r="34" customFormat="false" ht="15" hidden="false" customHeight="false" outlineLevel="0" collapsed="false">
      <c r="A34" s="10"/>
      <c r="B34" s="10"/>
      <c r="C34" s="9"/>
      <c r="D34" s="11"/>
      <c r="E34" s="11"/>
      <c r="F34" s="10"/>
      <c r="G34" s="12"/>
    </row>
    <row r="35" customFormat="false" ht="15" hidden="false" customHeight="false" outlineLevel="0" collapsed="false">
      <c r="A35" s="10"/>
      <c r="B35" s="10"/>
      <c r="C35" s="9"/>
      <c r="D35" s="11"/>
      <c r="E35" s="11"/>
      <c r="F35" s="10"/>
      <c r="G35" s="12"/>
    </row>
    <row r="36" customFormat="false" ht="15" hidden="false" customHeight="false" outlineLevel="0" collapsed="false">
      <c r="A36" s="10"/>
      <c r="B36" s="10"/>
      <c r="C36" s="9"/>
      <c r="D36" s="11"/>
      <c r="E36" s="11"/>
      <c r="F36" s="10"/>
      <c r="G36" s="12"/>
    </row>
    <row r="37" customFormat="false" ht="15" hidden="false" customHeight="false" outlineLevel="0" collapsed="false">
      <c r="A37" s="10"/>
      <c r="B37" s="10"/>
      <c r="C37" s="9"/>
      <c r="D37" s="11"/>
      <c r="E37" s="11"/>
      <c r="F37" s="10"/>
      <c r="G37" s="12"/>
    </row>
    <row r="38" customFormat="false" ht="15" hidden="false" customHeight="false" outlineLevel="0" collapsed="false">
      <c r="A38" s="10"/>
      <c r="B38" s="10"/>
      <c r="C38" s="9"/>
      <c r="D38" s="11"/>
      <c r="E38" s="11"/>
      <c r="F38" s="10"/>
      <c r="G38" s="12"/>
    </row>
    <row r="39" customFormat="false" ht="15" hidden="false" customHeight="false" outlineLevel="0" collapsed="false">
      <c r="A39" s="10"/>
      <c r="B39" s="10"/>
      <c r="C39" s="9"/>
      <c r="D39" s="11"/>
      <c r="E39" s="11"/>
      <c r="F39" s="10"/>
      <c r="G39" s="12"/>
    </row>
    <row r="40" customFormat="false" ht="15" hidden="false" customHeight="false" outlineLevel="0" collapsed="false">
      <c r="A40" s="10"/>
      <c r="B40" s="10"/>
      <c r="C40" s="9"/>
      <c r="D40" s="11"/>
      <c r="E40" s="11"/>
      <c r="F40" s="10"/>
      <c r="G40" s="12"/>
    </row>
    <row r="41" customFormat="false" ht="15" hidden="false" customHeight="false" outlineLevel="0" collapsed="false">
      <c r="A41" s="10"/>
      <c r="B41" s="10"/>
      <c r="C41" s="9"/>
      <c r="D41" s="11"/>
      <c r="E41" s="11"/>
      <c r="F41" s="10"/>
      <c r="G41" s="12"/>
    </row>
    <row r="42" customFormat="false" ht="15" hidden="false" customHeight="false" outlineLevel="0" collapsed="false">
      <c r="A42" s="10"/>
      <c r="B42" s="10"/>
      <c r="C42" s="9"/>
      <c r="D42" s="11"/>
      <c r="E42" s="11"/>
      <c r="F42" s="10"/>
      <c r="G42" s="12"/>
    </row>
    <row r="43" customFormat="false" ht="15" hidden="false" customHeight="false" outlineLevel="0" collapsed="false">
      <c r="A43" s="10"/>
      <c r="B43" s="10"/>
      <c r="C43" s="9"/>
      <c r="D43" s="11"/>
      <c r="E43" s="11"/>
      <c r="F43" s="10"/>
      <c r="G43" s="12"/>
    </row>
    <row r="44" customFormat="false" ht="15" hidden="false" customHeight="false" outlineLevel="0" collapsed="false">
      <c r="A44" s="10"/>
      <c r="B44" s="10"/>
      <c r="C44" s="9"/>
      <c r="D44" s="11"/>
      <c r="E44" s="11"/>
      <c r="F44" s="10"/>
      <c r="G44" s="12"/>
    </row>
    <row r="46" customFormat="false" ht="27.75" hidden="false" customHeight="true" outlineLevel="0" collapsed="false">
      <c r="A46" s="17" t="s">
        <v>54</v>
      </c>
      <c r="B46" s="17"/>
      <c r="C46" s="17"/>
      <c r="D46" s="17"/>
      <c r="E46" s="17"/>
      <c r="F46" s="17"/>
      <c r="G46" s="17"/>
    </row>
    <row r="47" customFormat="false" ht="27.75" hidden="false" customHeight="true" outlineLevel="0" collapsed="false">
      <c r="A47" s="17" t="s">
        <v>55</v>
      </c>
      <c r="B47" s="17"/>
      <c r="C47" s="17"/>
      <c r="D47" s="17"/>
      <c r="E47" s="17"/>
      <c r="F47" s="17"/>
      <c r="G47" s="17"/>
    </row>
    <row r="48" customFormat="false" ht="27.75" hidden="false" customHeight="true" outlineLevel="0" collapsed="false">
      <c r="A48" s="17" t="s">
        <v>56</v>
      </c>
      <c r="B48" s="17"/>
      <c r="C48" s="17"/>
      <c r="D48" s="17"/>
      <c r="E48" s="17"/>
      <c r="F48" s="17"/>
      <c r="G48" s="17"/>
    </row>
  </sheetData>
  <mergeCells count="9">
    <mergeCell ref="A3:D3"/>
    <mergeCell ref="E3:G3"/>
    <mergeCell ref="A4:D4"/>
    <mergeCell ref="E4:G4"/>
    <mergeCell ref="A5:D5"/>
    <mergeCell ref="E5:G5"/>
    <mergeCell ref="A46:G46"/>
    <mergeCell ref="A47:G47"/>
    <mergeCell ref="A48:G48"/>
  </mergeCells>
  <dataValidations count="2">
    <dataValidation allowBlank="true" errorStyle="stop" operator="between" showDropDown="false" showErrorMessage="false" showInputMessage="false" sqref="B7:B44" type="list">
      <formula1>岗位!$A$2:$A$10</formula1>
      <formula2>0</formula2>
    </dataValidation>
    <dataValidation allowBlank="true" errorStyle="stop" operator="between" showDropDown="false" showErrorMessage="false" showInputMessage="false" sqref="C7:C44" type="list">
      <formula1>岗位!$B$2:$B$9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26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1" t="s">
        <v>0</v>
      </c>
      <c r="B1" s="2" t="n">
        <v>46238</v>
      </c>
      <c r="D1" s="3" t="str">
        <f aca="false">IF($B$1="","",CHOOSE(WEEKDAY($B$1,2),"星期一","星期二","星期三","星期四","星期五","星期六","星期日"))</f>
        <v>星期二</v>
      </c>
    </row>
    <row r="3" customFormat="false" ht="15" hidden="false" customHeight="false" outlineLevel="0" collapsed="false">
      <c r="A3" s="4" t="s">
        <v>1</v>
      </c>
      <c r="B3" s="4"/>
      <c r="C3" s="4"/>
      <c r="D3" s="4"/>
      <c r="E3" s="5" t="n">
        <v>55000</v>
      </c>
      <c r="F3" s="5"/>
      <c r="G3" s="5"/>
    </row>
    <row r="4" customFormat="false" ht="15" hidden="false" customHeight="false" outlineLevel="0" collapsed="false">
      <c r="A4" s="4" t="s">
        <v>2</v>
      </c>
      <c r="B4" s="4"/>
      <c r="C4" s="4"/>
      <c r="D4" s="4"/>
      <c r="E4" s="6" t="n">
        <f aca="false">ROUND(SUM($G$7:$G$120),1)</f>
        <v>144.5</v>
      </c>
      <c r="F4" s="6"/>
      <c r="G4" s="6"/>
    </row>
    <row r="5" customFormat="false" ht="15" hidden="false" customHeight="false" outlineLevel="0" collapsed="false">
      <c r="A5" s="4" t="s">
        <v>3</v>
      </c>
      <c r="B5" s="4"/>
      <c r="C5" s="4"/>
      <c r="D5" s="4"/>
      <c r="E5" s="7" t="n">
        <f aca="false">IFERROR(ROUND($E$3/$E$4,1),"")</f>
        <v>380.6</v>
      </c>
      <c r="F5" s="7"/>
      <c r="G5" s="7"/>
    </row>
    <row r="6" customFormat="false" ht="25.5" hidden="false" customHeight="true" outlineLevel="0" collapsed="false">
      <c r="A6" s="4" t="s">
        <v>4</v>
      </c>
      <c r="B6" s="4" t="s">
        <v>5</v>
      </c>
      <c r="C6" s="8" t="s">
        <v>6</v>
      </c>
      <c r="D6" s="4" t="s">
        <v>7</v>
      </c>
      <c r="E6" s="4" t="s">
        <v>8</v>
      </c>
      <c r="F6" s="4" t="s">
        <v>9</v>
      </c>
      <c r="G6" s="4" t="s">
        <v>10</v>
      </c>
    </row>
    <row r="7" customFormat="false" ht="17.15" hidden="false" customHeight="false" outlineLevel="0" collapsed="false">
      <c r="A7" s="10" t="s">
        <v>57</v>
      </c>
      <c r="B7" s="10" t="s">
        <v>12</v>
      </c>
      <c r="C7" s="9" t="s">
        <v>58</v>
      </c>
      <c r="D7" s="11" t="n">
        <v>0.458333333333333</v>
      </c>
      <c r="E7" s="11" t="n">
        <v>0.833333333333333</v>
      </c>
      <c r="F7" s="10"/>
      <c r="G7" s="12" t="n">
        <v>8</v>
      </c>
    </row>
    <row r="8" customFormat="false" ht="15" hidden="false" customHeight="false" outlineLevel="0" collapsed="false">
      <c r="A8" s="10" t="s">
        <v>59</v>
      </c>
      <c r="B8" s="10" t="s">
        <v>12</v>
      </c>
      <c r="C8" s="9" t="s">
        <v>60</v>
      </c>
      <c r="D8" s="11" t="n">
        <v>0.5625</v>
      </c>
      <c r="E8" s="11" t="n">
        <v>0.9375</v>
      </c>
      <c r="F8" s="10"/>
      <c r="G8" s="12" t="n">
        <v>8</v>
      </c>
    </row>
    <row r="9" customFormat="false" ht="15" hidden="false" customHeight="false" outlineLevel="0" collapsed="false">
      <c r="A9" s="10" t="s">
        <v>61</v>
      </c>
      <c r="B9" s="10" t="s">
        <v>62</v>
      </c>
      <c r="C9" s="9" t="s">
        <v>63</v>
      </c>
      <c r="D9" s="11" t="n">
        <v>0.5</v>
      </c>
      <c r="E9" s="11" t="n">
        <v>0.875</v>
      </c>
      <c r="F9" s="10"/>
      <c r="G9" s="12" t="n">
        <v>8</v>
      </c>
    </row>
    <row r="10" customFormat="false" ht="15" hidden="false" customHeight="false" outlineLevel="0" collapsed="false">
      <c r="A10" s="10" t="s">
        <v>64</v>
      </c>
      <c r="B10" s="10" t="s">
        <v>62</v>
      </c>
      <c r="C10" s="9" t="s">
        <v>65</v>
      </c>
      <c r="D10" s="11" t="n">
        <v>0.5625</v>
      </c>
      <c r="E10" s="11" t="n">
        <v>0.9375</v>
      </c>
      <c r="F10" s="10"/>
      <c r="G10" s="12" t="n">
        <v>8</v>
      </c>
    </row>
    <row r="11" customFormat="false" ht="15" hidden="false" customHeight="false" outlineLevel="0" collapsed="false">
      <c r="A11" s="10" t="s">
        <v>66</v>
      </c>
      <c r="B11" s="10" t="s">
        <v>62</v>
      </c>
      <c r="C11" s="9" t="s">
        <v>67</v>
      </c>
      <c r="D11" s="11" t="n">
        <v>0.5</v>
      </c>
      <c r="E11" s="11" t="n">
        <v>0.958333333333333</v>
      </c>
      <c r="F11" s="10"/>
      <c r="G11" s="12" t="n">
        <v>10</v>
      </c>
    </row>
    <row r="12" customFormat="false" ht="17.15" hidden="false" customHeight="false" outlineLevel="0" collapsed="false">
      <c r="A12" s="10" t="s">
        <v>68</v>
      </c>
      <c r="B12" s="10" t="s">
        <v>62</v>
      </c>
      <c r="C12" s="9" t="s">
        <v>69</v>
      </c>
      <c r="D12" s="11" t="n">
        <v>0.5</v>
      </c>
      <c r="E12" s="11" t="n">
        <v>0.916666666666667</v>
      </c>
      <c r="F12" s="10" t="s">
        <v>70</v>
      </c>
      <c r="G12" s="12" t="n">
        <v>9</v>
      </c>
    </row>
    <row r="13" customFormat="false" ht="15" hidden="false" customHeight="false" outlineLevel="0" collapsed="false">
      <c r="A13" s="10" t="s">
        <v>71</v>
      </c>
      <c r="B13" s="10" t="s">
        <v>72</v>
      </c>
      <c r="C13" s="9" t="s">
        <v>73</v>
      </c>
      <c r="D13" s="11" t="n">
        <v>0.416666666666667</v>
      </c>
      <c r="E13" s="11" t="n">
        <v>0.791666666666667</v>
      </c>
      <c r="F13" s="10"/>
      <c r="G13" s="12" t="n">
        <v>8</v>
      </c>
    </row>
    <row r="14" customFormat="false" ht="15" hidden="false" customHeight="false" outlineLevel="0" collapsed="false">
      <c r="A14" s="10" t="s">
        <v>74</v>
      </c>
      <c r="B14" s="10" t="s">
        <v>72</v>
      </c>
      <c r="C14" s="9" t="s">
        <v>73</v>
      </c>
      <c r="D14" s="11" t="n">
        <v>0.5</v>
      </c>
      <c r="E14" s="11" t="n">
        <v>0.9375</v>
      </c>
      <c r="F14" s="10" t="s">
        <v>75</v>
      </c>
      <c r="G14" s="12" t="n">
        <v>9.5</v>
      </c>
    </row>
    <row r="15" customFormat="false" ht="17.15" hidden="false" customHeight="false" outlineLevel="0" collapsed="false">
      <c r="A15" s="10" t="s">
        <v>76</v>
      </c>
      <c r="B15" s="10" t="s">
        <v>72</v>
      </c>
      <c r="C15" s="9" t="s">
        <v>77</v>
      </c>
      <c r="D15" s="11" t="n">
        <v>0.5625</v>
      </c>
      <c r="E15" s="11" t="n">
        <v>0.9375</v>
      </c>
      <c r="F15" s="10"/>
      <c r="G15" s="12" t="n">
        <v>8</v>
      </c>
    </row>
    <row r="16" customFormat="false" ht="15" hidden="false" customHeight="false" outlineLevel="0" collapsed="false">
      <c r="A16" s="10" t="s">
        <v>78</v>
      </c>
      <c r="B16" s="10" t="s">
        <v>79</v>
      </c>
      <c r="C16" s="9" t="s">
        <v>80</v>
      </c>
      <c r="D16" s="11" t="n">
        <v>0.416666666666667</v>
      </c>
      <c r="E16" s="11" t="n">
        <v>0.791666666666667</v>
      </c>
      <c r="F16" s="10"/>
      <c r="G16" s="12" t="n">
        <v>8</v>
      </c>
    </row>
    <row r="17" customFormat="false" ht="15" hidden="false" customHeight="false" outlineLevel="0" collapsed="false">
      <c r="A17" s="10" t="s">
        <v>81</v>
      </c>
      <c r="B17" s="10" t="s">
        <v>79</v>
      </c>
      <c r="C17" s="9" t="s">
        <v>80</v>
      </c>
      <c r="D17" s="11" t="n">
        <v>0.5</v>
      </c>
      <c r="E17" s="11" t="n">
        <v>0.875</v>
      </c>
      <c r="F17" s="10"/>
      <c r="G17" s="12" t="n">
        <v>8</v>
      </c>
    </row>
    <row r="18" customFormat="false" ht="17.15" hidden="false" customHeight="false" outlineLevel="0" collapsed="false">
      <c r="A18" s="10" t="s">
        <v>82</v>
      </c>
      <c r="B18" s="10" t="s">
        <v>79</v>
      </c>
      <c r="C18" s="9" t="s">
        <v>83</v>
      </c>
      <c r="D18" s="11" t="n">
        <v>0.5625</v>
      </c>
      <c r="E18" s="11" t="n">
        <v>0.9375</v>
      </c>
      <c r="F18" s="10"/>
      <c r="G18" s="12" t="n">
        <v>8</v>
      </c>
    </row>
    <row r="19" customFormat="false" ht="15" hidden="false" customHeight="false" outlineLevel="0" collapsed="false">
      <c r="A19" s="10" t="s">
        <v>84</v>
      </c>
      <c r="B19" s="10" t="s">
        <v>85</v>
      </c>
      <c r="C19" s="9" t="s">
        <v>86</v>
      </c>
      <c r="D19" s="11" t="n">
        <v>0.458333333333333</v>
      </c>
      <c r="E19" s="11" t="n">
        <v>0.833333333333333</v>
      </c>
      <c r="F19" s="10" t="s">
        <v>87</v>
      </c>
      <c r="G19" s="12" t="n">
        <v>8</v>
      </c>
    </row>
    <row r="20" customFormat="false" ht="17.15" hidden="false" customHeight="false" outlineLevel="0" collapsed="false">
      <c r="A20" s="10" t="s">
        <v>88</v>
      </c>
      <c r="B20" s="10" t="s">
        <v>85</v>
      </c>
      <c r="C20" s="9" t="s">
        <v>89</v>
      </c>
      <c r="D20" s="11" t="n">
        <v>0.5</v>
      </c>
      <c r="E20" s="11" t="n">
        <v>0.9375</v>
      </c>
      <c r="F20" s="10" t="s">
        <v>75</v>
      </c>
      <c r="G20" s="12" t="n">
        <v>9.5</v>
      </c>
    </row>
    <row r="21" customFormat="false" ht="17.15" hidden="false" customHeight="false" outlineLevel="0" collapsed="false">
      <c r="A21" s="10" t="s">
        <v>90</v>
      </c>
      <c r="B21" s="10" t="s">
        <v>85</v>
      </c>
      <c r="C21" s="9" t="s">
        <v>91</v>
      </c>
      <c r="D21" s="11" t="n">
        <v>0.5</v>
      </c>
      <c r="E21" s="11" t="n">
        <v>0.875</v>
      </c>
      <c r="F21" s="10" t="s">
        <v>92</v>
      </c>
      <c r="G21" s="12" t="n">
        <v>8</v>
      </c>
    </row>
    <row r="22" customFormat="false" ht="15" hidden="false" customHeight="false" outlineLevel="0" collapsed="false">
      <c r="A22" s="10" t="s">
        <v>93</v>
      </c>
      <c r="B22" s="10" t="s">
        <v>94</v>
      </c>
      <c r="C22" s="9" t="s">
        <v>45</v>
      </c>
      <c r="D22" s="11" t="n">
        <v>0.458333333333333</v>
      </c>
      <c r="E22" s="11" t="n">
        <v>0.9375</v>
      </c>
      <c r="F22" s="10" t="s">
        <v>95</v>
      </c>
      <c r="G22" s="12" t="n">
        <v>10.5</v>
      </c>
    </row>
    <row r="23" customFormat="false" ht="15" hidden="false" customHeight="false" outlineLevel="0" collapsed="false">
      <c r="A23" s="10" t="s">
        <v>96</v>
      </c>
      <c r="B23" s="10" t="s">
        <v>94</v>
      </c>
      <c r="C23" s="9" t="s">
        <v>45</v>
      </c>
      <c r="D23" s="11" t="n">
        <v>0.583333333333333</v>
      </c>
      <c r="E23" s="11" t="n">
        <v>0.958333333333333</v>
      </c>
      <c r="F23" s="10"/>
      <c r="G23" s="12" t="n">
        <v>8</v>
      </c>
    </row>
    <row r="24" customFormat="false" ht="15" hidden="false" customHeight="false" outlineLevel="0" collapsed="false">
      <c r="A24" s="10"/>
      <c r="B24" s="10"/>
      <c r="C24" s="9"/>
      <c r="D24" s="11"/>
      <c r="E24" s="11"/>
      <c r="F24" s="10"/>
      <c r="G24" s="12"/>
    </row>
    <row r="25" customFormat="false" ht="15" hidden="false" customHeight="false" outlineLevel="0" collapsed="false">
      <c r="A25" s="10"/>
      <c r="B25" s="10"/>
      <c r="C25" s="9"/>
      <c r="D25" s="11"/>
      <c r="E25" s="11"/>
      <c r="F25" s="10"/>
      <c r="G25" s="12"/>
    </row>
    <row r="26" customFormat="false" ht="15" hidden="false" customHeight="false" outlineLevel="0" collapsed="false">
      <c r="A26" s="10"/>
      <c r="B26" s="10"/>
      <c r="C26" s="9"/>
      <c r="D26" s="11"/>
      <c r="E26" s="11"/>
      <c r="F26" s="10"/>
      <c r="G26" s="12"/>
    </row>
    <row r="27" customFormat="false" ht="15" hidden="false" customHeight="false" outlineLevel="0" collapsed="false">
      <c r="A27" s="10"/>
      <c r="B27" s="10"/>
      <c r="C27" s="9"/>
      <c r="D27" s="11"/>
      <c r="E27" s="11"/>
      <c r="F27" s="10"/>
      <c r="G27" s="12"/>
    </row>
    <row r="28" customFormat="false" ht="15" hidden="false" customHeight="false" outlineLevel="0" collapsed="false">
      <c r="A28" s="10"/>
      <c r="B28" s="10"/>
      <c r="C28" s="9"/>
      <c r="D28" s="11"/>
      <c r="E28" s="11"/>
      <c r="F28" s="10"/>
      <c r="G28" s="12"/>
    </row>
    <row r="29" customFormat="false" ht="15" hidden="false" customHeight="false" outlineLevel="0" collapsed="false">
      <c r="A29" s="10"/>
      <c r="B29" s="10"/>
      <c r="C29" s="9"/>
      <c r="D29" s="11"/>
      <c r="E29" s="11"/>
      <c r="F29" s="10"/>
      <c r="G29" s="12"/>
    </row>
    <row r="30" customFormat="false" ht="15" hidden="false" customHeight="false" outlineLevel="0" collapsed="false">
      <c r="A30" s="10"/>
      <c r="B30" s="10"/>
      <c r="C30" s="9"/>
      <c r="D30" s="11"/>
      <c r="E30" s="11"/>
      <c r="F30" s="10"/>
      <c r="G30" s="12"/>
    </row>
    <row r="31" customFormat="false" ht="15" hidden="false" customHeight="false" outlineLevel="0" collapsed="false">
      <c r="A31" s="10"/>
      <c r="B31" s="10"/>
      <c r="C31" s="9"/>
      <c r="D31" s="11"/>
      <c r="E31" s="11"/>
      <c r="F31" s="10"/>
      <c r="G31" s="12"/>
    </row>
    <row r="32" customFormat="false" ht="15" hidden="false" customHeight="false" outlineLevel="0" collapsed="false">
      <c r="A32" s="10"/>
      <c r="B32" s="10"/>
      <c r="C32" s="9"/>
      <c r="D32" s="11"/>
      <c r="E32" s="11"/>
      <c r="F32" s="10"/>
      <c r="G32" s="12"/>
    </row>
    <row r="33" customFormat="false" ht="15" hidden="false" customHeight="false" outlineLevel="0" collapsed="false">
      <c r="A33" s="10"/>
      <c r="B33" s="10"/>
      <c r="C33" s="9"/>
      <c r="D33" s="11"/>
      <c r="E33" s="11"/>
      <c r="F33" s="10"/>
      <c r="G33" s="12"/>
    </row>
    <row r="34" customFormat="false" ht="15" hidden="false" customHeight="false" outlineLevel="0" collapsed="false">
      <c r="A34" s="10"/>
      <c r="B34" s="10"/>
      <c r="C34" s="9"/>
      <c r="D34" s="11"/>
      <c r="E34" s="11"/>
      <c r="F34" s="10"/>
      <c r="G34" s="12"/>
    </row>
    <row r="35" customFormat="false" ht="15" hidden="false" customHeight="false" outlineLevel="0" collapsed="false">
      <c r="A35" s="10"/>
      <c r="B35" s="10"/>
      <c r="C35" s="9"/>
      <c r="D35" s="11"/>
      <c r="E35" s="11"/>
      <c r="F35" s="10"/>
      <c r="G35" s="12"/>
    </row>
    <row r="37" customFormat="false" ht="27.75" hidden="false" customHeight="true" outlineLevel="0" collapsed="false">
      <c r="A37" s="17" t="s">
        <v>97</v>
      </c>
      <c r="B37" s="17"/>
      <c r="C37" s="17"/>
      <c r="D37" s="17"/>
      <c r="E37" s="17"/>
      <c r="F37" s="17"/>
      <c r="G37" s="17"/>
    </row>
    <row r="38" customFormat="false" ht="27.75" hidden="false" customHeight="true" outlineLevel="0" collapsed="false">
      <c r="A38" s="17" t="s">
        <v>55</v>
      </c>
      <c r="B38" s="17"/>
      <c r="C38" s="17"/>
      <c r="D38" s="17"/>
      <c r="E38" s="17"/>
      <c r="F38" s="17"/>
      <c r="G38" s="17"/>
    </row>
    <row r="39" customFormat="false" ht="27.75" hidden="false" customHeight="true" outlineLevel="0" collapsed="false">
      <c r="A39" s="17" t="s">
        <v>56</v>
      </c>
      <c r="B39" s="17"/>
      <c r="C39" s="17"/>
      <c r="D39" s="17"/>
      <c r="E39" s="17"/>
      <c r="F39" s="17"/>
      <c r="G39" s="17"/>
    </row>
  </sheetData>
  <mergeCells count="9">
    <mergeCell ref="A3:D3"/>
    <mergeCell ref="E3:G3"/>
    <mergeCell ref="A4:D4"/>
    <mergeCell ref="E4:G4"/>
    <mergeCell ref="A5:D5"/>
    <mergeCell ref="E5:G5"/>
    <mergeCell ref="A37:G37"/>
    <mergeCell ref="A38:G38"/>
    <mergeCell ref="A39:G39"/>
  </mergeCells>
  <dataValidations count="2">
    <dataValidation allowBlank="true" errorStyle="stop" operator="between" showDropDown="false" showErrorMessage="false" showInputMessage="false" sqref="B7:B35" type="list">
      <formula1>岗位!$C$2:$C$8</formula1>
      <formula2>0</formula2>
    </dataValidation>
    <dataValidation allowBlank="true" errorStyle="stop" operator="between" showDropDown="false" showErrorMessage="false" showInputMessage="false" sqref="C7:C35" type="list">
      <formula1>岗位!$D$2:$D$16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2"/>
  </cols>
  <sheetData>
    <row r="1" customFormat="false" ht="17.15" hidden="false" customHeight="false" outlineLevel="0" collapsed="false">
      <c r="A1" s="18" t="s">
        <v>98</v>
      </c>
      <c r="B1" s="18" t="s">
        <v>99</v>
      </c>
      <c r="C1" s="18" t="s">
        <v>100</v>
      </c>
      <c r="D1" s="18" t="s">
        <v>101</v>
      </c>
      <c r="F1" s="19" t="s">
        <v>102</v>
      </c>
    </row>
    <row r="2" customFormat="false" ht="15" hidden="false" customHeight="false" outlineLevel="0" collapsed="false">
      <c r="A2" s="20" t="s">
        <v>12</v>
      </c>
      <c r="B2" s="21" t="s">
        <v>13</v>
      </c>
      <c r="C2" s="20" t="s">
        <v>12</v>
      </c>
      <c r="D2" s="21" t="s">
        <v>103</v>
      </c>
    </row>
    <row r="3" customFormat="false" ht="17.15" hidden="false" customHeight="false" outlineLevel="0" collapsed="false">
      <c r="A3" s="21" t="s">
        <v>15</v>
      </c>
      <c r="B3" s="21" t="s">
        <v>16</v>
      </c>
      <c r="C3" s="20" t="s">
        <v>62</v>
      </c>
      <c r="D3" s="21" t="s">
        <v>60</v>
      </c>
    </row>
    <row r="4" customFormat="false" ht="17.15" hidden="false" customHeight="false" outlineLevel="0" collapsed="false">
      <c r="A4" s="21" t="s">
        <v>18</v>
      </c>
      <c r="B4" s="21" t="s">
        <v>19</v>
      </c>
      <c r="C4" s="20" t="s">
        <v>72</v>
      </c>
      <c r="D4" s="21" t="s">
        <v>58</v>
      </c>
    </row>
    <row r="5" customFormat="false" ht="17.15" hidden="false" customHeight="false" outlineLevel="0" collapsed="false">
      <c r="A5" s="21" t="s">
        <v>23</v>
      </c>
      <c r="B5" s="21" t="s">
        <v>24</v>
      </c>
      <c r="C5" s="20" t="s">
        <v>79</v>
      </c>
      <c r="D5" s="21" t="s">
        <v>65</v>
      </c>
    </row>
    <row r="6" customFormat="false" ht="17.15" hidden="false" customHeight="false" outlineLevel="0" collapsed="false">
      <c r="A6" s="21" t="s">
        <v>30</v>
      </c>
      <c r="B6" s="21" t="s">
        <v>31</v>
      </c>
      <c r="C6" s="20" t="s">
        <v>85</v>
      </c>
      <c r="D6" s="21" t="s">
        <v>63</v>
      </c>
    </row>
    <row r="7" customFormat="false" ht="17.15" hidden="false" customHeight="false" outlineLevel="0" collapsed="false">
      <c r="A7" s="21" t="s">
        <v>35</v>
      </c>
      <c r="B7" s="21" t="s">
        <v>36</v>
      </c>
      <c r="C7" s="20" t="s">
        <v>94</v>
      </c>
      <c r="D7" s="21" t="s">
        <v>67</v>
      </c>
    </row>
    <row r="8" customFormat="false" ht="17.15" hidden="false" customHeight="false" outlineLevel="0" collapsed="false">
      <c r="A8" s="21" t="s">
        <v>40</v>
      </c>
      <c r="B8" s="21" t="s">
        <v>41</v>
      </c>
      <c r="C8" s="20" t="s">
        <v>48</v>
      </c>
      <c r="D8" s="21" t="s">
        <v>69</v>
      </c>
    </row>
    <row r="9" customFormat="false" ht="17.15" hidden="false" customHeight="false" outlineLevel="0" collapsed="false">
      <c r="A9" s="21" t="s">
        <v>44</v>
      </c>
      <c r="B9" s="21" t="s">
        <v>45</v>
      </c>
      <c r="D9" s="21" t="s">
        <v>73</v>
      </c>
    </row>
    <row r="10" customFormat="false" ht="17.15" hidden="false" customHeight="false" outlineLevel="0" collapsed="false">
      <c r="A10" s="20" t="s">
        <v>48</v>
      </c>
      <c r="D10" s="21" t="s">
        <v>77</v>
      </c>
    </row>
    <row r="11" customFormat="false" ht="15" hidden="false" customHeight="false" outlineLevel="0" collapsed="false">
      <c r="D11" s="21" t="s">
        <v>80</v>
      </c>
    </row>
    <row r="12" customFormat="false" ht="17.15" hidden="false" customHeight="false" outlineLevel="0" collapsed="false">
      <c r="D12" s="21" t="s">
        <v>83</v>
      </c>
    </row>
    <row r="13" customFormat="false" ht="15" hidden="false" customHeight="false" outlineLevel="0" collapsed="false">
      <c r="D13" s="21" t="s">
        <v>86</v>
      </c>
    </row>
    <row r="14" customFormat="false" ht="17.15" hidden="false" customHeight="false" outlineLevel="0" collapsed="false">
      <c r="D14" s="21" t="s">
        <v>89</v>
      </c>
    </row>
    <row r="15" customFormat="false" ht="15" hidden="false" customHeight="false" outlineLevel="0" collapsed="false">
      <c r="D15" s="21" t="s">
        <v>91</v>
      </c>
    </row>
    <row r="16" customFormat="false" ht="15" hidden="false" customHeight="false" outlineLevel="0" collapsed="false">
      <c r="D16" s="2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2026-08-04T10:36:24Z</dcterms:created>
  <dc:creator>openpyxl</dc:creator>
  <dc:description/>
  <dc:language>en-US</dc:language>
  <cp:lastModifiedBy/>
  <dcterms:modified xsi:type="dcterms:W3CDTF">2026-08-04T10:36:24Z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